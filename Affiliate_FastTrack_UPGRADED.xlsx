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💼 Programs" sheetId="2" state="visible" r:id="rId4"/>
    <sheet name="📅 30-Day Plan" sheetId="3" state="visible" r:id="rId5"/>
    <sheet name="🧮 Target Math" sheetId="4" state="visible" r:id="rId6"/>
    <sheet name="🎬 Content Hooks" sheetId="5" state="visible" r:id="rId7"/>
    <sheet name="🔗 Link Tracker" sheetId="6" state="visible" r:id="rId8"/>
    <sheet name="💰 Monthly P&amp;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<sst xmlns="http://schemas.openxmlformats.org/spreadsheetml/2006/main" count="479" uniqueCount="329">
  <si>
    <t xml:space="preserve">🚀  INSTAPULSE AFFILIATE FASTTRACK  |  Target: $20/Day</t>
  </si>
  <si>
    <t xml:space="preserve">Daily Target</t>
  </si>
  <si>
    <t xml:space="preserve">Monthly Target</t>
  </si>
  <si>
    <t xml:space="preserve">Programs Joined</t>
  </si>
  <si>
    <t xml:space="preserve">Links Published</t>
  </si>
  <si>
    <t xml:space="preserve">Est. Monthly Revenue</t>
  </si>
  <si>
    <t xml:space="preserve">📈  REVENUE TRACKER</t>
  </si>
  <si>
    <t xml:space="preserve">Week</t>
  </si>
  <si>
    <t xml:space="preserve">Program</t>
  </si>
  <si>
    <t xml:space="preserve">Clicks</t>
  </si>
  <si>
    <t xml:space="preserve">Conversions</t>
  </si>
  <si>
    <t xml:space="preserve">Conv. Rate</t>
  </si>
  <si>
    <t xml:space="preserve">Avg. Commission ($)</t>
  </si>
  <si>
    <t xml:space="preserve">Revenue ($)</t>
  </si>
  <si>
    <t xml:space="preserve">Payout Status</t>
  </si>
  <si>
    <t xml:space="preserve">Notes</t>
  </si>
  <si>
    <t xml:space="preserve">Action</t>
  </si>
  <si>
    <t xml:space="preserve">Week 1</t>
  </si>
  <si>
    <t xml:space="preserve">—</t>
  </si>
  <si>
    <t xml:space="preserve">Pending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</si>
  <si>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</si>
  <si>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</si>
  <si>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</si>
  <si>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</si>
  <si>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</si>
  <si>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</si>
  <si>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</si>
  <si>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</si>
  <si>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</si>
  <si>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TOTAL</t>
  </si>
  <si>
    <t xml:space="preserve">💼  AFFILIATE PROGRAMS MASTER LIST  |  Pankaj / InstaPulse</t>
  </si>
  <si>
    <t xml:space="preserve">Category</t>
  </si>
  <si>
    <t xml:space="preserve">Commission</t>
  </si>
  <si>
    <t xml:space="preserve">Cookie Duration</t>
  </si>
  <si>
    <t xml:space="preserve">Payout Method</t>
  </si>
  <si>
    <t xml:space="preserve">Min Payout</t>
  </si>
  <si>
    <t xml:space="preserve">Signup URL</t>
  </si>
  <si>
    <t xml:space="preserve">Status</t>
  </si>
  <si>
    <t xml:space="preserve">Priority</t>
  </si>
  <si>
    <t xml:space="preserve">Shopify Partners</t>
  </si>
  <si>
    <t xml:space="preserve">E-commerce Platform</t>
  </si>
  <si>
    <t xml:space="preserve">$150 per paid plan</t>
  </si>
  <si>
    <t xml:space="preserve">30 days</t>
  </si>
  <si>
    <t xml:space="preserve">PayPal / Wire</t>
  </si>
  <si>
    <t xml:space="preserve">$25</t>
  </si>
  <si>
    <t xml:space="preserve">partners.shopify.com</t>
  </si>
  <si>
    <t xml:space="preserve">✅ Apply Now</t>
  </si>
  <si>
    <t xml:space="preserve">🔥 HIGH</t>
  </si>
  <si>
    <t xml:space="preserve">Hostinger</t>
  </si>
  <si>
    <t xml:space="preserve">Web Hosting</t>
  </si>
  <si>
    <t xml:space="preserve">₹2,000–₹5,000 / sale</t>
  </si>
  <si>
    <t xml:space="preserve">Wire Transfer</t>
  </si>
  <si>
    <t xml:space="preserve">₹2,000</t>
  </si>
  <si>
    <t xml:space="preserve">hostinger.com/affiliates</t>
  </si>
  <si>
    <t xml:space="preserve">Canva Pro</t>
  </si>
  <si>
    <t xml:space="preserve">Design Tool</t>
  </si>
  <si>
    <t xml:space="preserve">$36 / annual sub</t>
  </si>
  <si>
    <t xml:space="preserve">PayPal</t>
  </si>
  <si>
    <t xml:space="preserve">$10</t>
  </si>
  <si>
    <t xml:space="preserve">canva.com/affiliates</t>
  </si>
  <si>
    <t xml:space="preserve">SEMrush</t>
  </si>
  <si>
    <t xml:space="preserve">SEO/Marketing Tool</t>
  </si>
  <si>
    <t xml:space="preserve">$200 per sale</t>
  </si>
  <si>
    <t xml:space="preserve">120 days</t>
  </si>
  <si>
    <t xml:space="preserve">Wire / PayPal</t>
  </si>
  <si>
    <t xml:space="preserve">$50</t>
  </si>
  <si>
    <t xml:space="preserve">semrush.com/lp/affiliate</t>
  </si>
  <si>
    <t xml:space="preserve">⏳ Apply</t>
  </si>
  <si>
    <t xml:space="preserve">Amazon Associates (IN)</t>
  </si>
  <si>
    <t xml:space="preserve">E-commerce</t>
  </si>
  <si>
    <t xml:space="preserve">1–10% per sale</t>
  </si>
  <si>
    <t xml:space="preserve">24 hrs</t>
  </si>
  <si>
    <t xml:space="preserve">Bank Transfer</t>
  </si>
  <si>
    <t xml:space="preserve">₹2,500</t>
  </si>
  <si>
    <t xml:space="preserve">affiliate-program.amazon.in</t>
  </si>
  <si>
    <t xml:space="preserve">🟡 MEDIUM</t>
  </si>
  <si>
    <t xml:space="preserve">Impact.com</t>
  </si>
  <si>
    <t xml:space="preserve">Multi-Brand Network</t>
  </si>
  <si>
    <t xml:space="preserve">Varies</t>
  </si>
  <si>
    <t xml:space="preserve">Wire</t>
  </si>
  <si>
    <t xml:space="preserve">impact.com/affiliates</t>
  </si>
  <si>
    <t xml:space="preserve">Admitad India</t>
  </si>
  <si>
    <t xml:space="preserve">₹1,000</t>
  </si>
  <si>
    <t xml:space="preserve">admitad.com</t>
  </si>
  <si>
    <t xml:space="preserve">Systeme.io</t>
  </si>
  <si>
    <t xml:space="preserve">Funnel Builder</t>
  </si>
  <si>
    <t xml:space="preserve">40% recurring</t>
  </si>
  <si>
    <t xml:space="preserve">180 days</t>
  </si>
  <si>
    <t xml:space="preserve">$30</t>
  </si>
  <si>
    <t xml:space="preserve">systeme.io/affiliate</t>
  </si>
  <si>
    <t xml:space="preserve">InVideo AI</t>
  </si>
  <si>
    <t xml:space="preserve">AI Video Tool</t>
  </si>
  <si>
    <t xml:space="preserve">25–50% recurring</t>
  </si>
  <si>
    <t xml:space="preserve">60 days</t>
  </si>
  <si>
    <t xml:space="preserve">invideo.io/affiliate</t>
  </si>
  <si>
    <t xml:space="preserve">Bluehost India</t>
  </si>
  <si>
    <t xml:space="preserve">₹3,000–₹5,000/sale</t>
  </si>
  <si>
    <t xml:space="preserve">bluehost.in/affiliates</t>
  </si>
  <si>
    <t xml:space="preserve">Klaviyo</t>
  </si>
  <si>
    <t xml:space="preserve">Email Marketing</t>
  </si>
  <si>
    <t xml:space="preserve">$150 / referral</t>
  </si>
  <si>
    <t xml:space="preserve">90 days</t>
  </si>
  <si>
    <t xml:space="preserve">klaviyo.com/partners</t>
  </si>
  <si>
    <t xml:space="preserve">🔵 LOW</t>
  </si>
  <si>
    <t xml:space="preserve">Notion</t>
  </si>
  <si>
    <t xml:space="preserve">Productivity</t>
  </si>
  <si>
    <t xml:space="preserve">$5–$10/user</t>
  </si>
  <si>
    <t xml:space="preserve">notion.so/affiliates</t>
  </si>
  <si>
    <t xml:space="preserve">📅  30-DAY AFFILIATE FASTTRACK  |  $0 → $20/Day</t>
  </si>
  <si>
    <t xml:space="preserve">Phase</t>
  </si>
  <si>
    <t xml:space="preserve">Day(s)</t>
  </si>
  <si>
    <t xml:space="preserve">Task</t>
  </si>
  <si>
    <t xml:space="preserve">Platform / Tool</t>
  </si>
  <si>
    <t xml:space="preserve">Time Required</t>
  </si>
  <si>
    <t xml:space="preserve">Expected Outcome</t>
  </si>
  <si>
    <t xml:space="preserve">Phase 1
SETUP</t>
  </si>
  <si>
    <t xml:space="preserve">Day 1</t>
  </si>
  <si>
    <t xml:space="preserve">Register on Shopify Partners + Hostinger + Canva affiliates</t>
  </si>
  <si>
    <t xml:space="preserve">Shopify / Hostinger / Canva</t>
  </si>
  <si>
    <t xml:space="preserve">2 hrs</t>
  </si>
  <si>
    <t xml:space="preserve">3 affiliate links in hand</t>
  </si>
  <si>
    <t xml:space="preserve">[ ]</t>
  </si>
  <si>
    <t xml:space="preserve">Set up link shortener (bit.ly or custom domain)</t>
  </si>
  <si>
    <t xml:space="preserve">bit.ly / Cloudflare</t>
  </si>
  <si>
    <t xml:space="preserve">30 min</t>
  </si>
  <si>
    <t xml:space="preserve">Clean trackable URLs ready</t>
  </si>
  <si>
    <t xml:space="preserve">Update YouTube channel description + all video descriptions with links</t>
  </si>
  <si>
    <t xml:space="preserve">YouTube Studio</t>
  </si>
  <si>
    <t xml:space="preserve">1 hr</t>
  </si>
  <si>
    <t xml:space="preserve">Passive link exposure on 2,700 subs channel</t>
  </si>
  <si>
    <t xml:space="preserve">Create WhatsApp Broadcast: 'Tools for D2C Founders'</t>
  </si>
  <si>
    <t xml:space="preserve">WhatsApp</t>
  </si>
  <si>
    <t xml:space="preserve">Direct audience for recommendations</t>
  </si>
  <si>
    <t xml:space="preserve">Phase 2
CONTENT</t>
  </si>
  <si>
    <t xml:space="preserve">Day 2</t>
  </si>
  <si>
    <t xml:space="preserve">Shoot YouTube Short: '3 tools I use to run my Shopify clients'</t>
  </si>
  <si>
    <t xml:space="preserve">Phone + CapCut/Kdenlive</t>
  </si>
  <si>
    <t xml:space="preserve">First affiliate content live</t>
  </si>
  <si>
    <t xml:space="preserve">Write WhatsApp broadcast: 'My actual agency tool stack'</t>
  </si>
  <si>
    <t xml:space="preserve">First referral clicks from warm network</t>
  </si>
  <si>
    <t xml:space="preserve">Post in Shopify India / D2C India Facebook groups (value post, not spam)</t>
  </si>
  <si>
    <t xml:space="preserve">Facebook Groups</t>
  </si>
  <si>
    <t xml:space="preserve">Organic impressions from targeted audience</t>
  </si>
  <si>
    <t xml:space="preserve">Day 3</t>
  </si>
  <si>
    <t xml:space="preserve">Create Instagram Reel: 'How I manage 5 Shopify stores from my laptop'</t>
  </si>
  <si>
    <t xml:space="preserve">Instagram / CapCut</t>
  </si>
  <si>
    <t xml:space="preserve">Brand visibility + link in bio traffic</t>
  </si>
  <si>
    <t xml:space="preserve">Reply to comments on YouTube and ask: 'Want my full tool list?'</t>
  </si>
  <si>
    <t xml:space="preserve">Engagement + link clicks</t>
  </si>
  <si>
    <t xml:space="preserve">Phase 3
TRAFFIC</t>
  </si>
  <si>
    <t xml:space="preserve">Day 4–7</t>
  </si>
  <si>
    <t xml:space="preserve">Post 1 YouTube Short daily (AI tools, Shopify tips, Meta Ads tips)</t>
  </si>
  <si>
    <t xml:space="preserve">YouTube</t>
  </si>
  <si>
    <t xml:space="preserve">2 hrs/day</t>
  </si>
  <si>
    <t xml:space="preserve">Compounding views + recurring clicks</t>
  </si>
  <si>
    <t xml:space="preserve">Join and contribute to r/dropshipping, r/shopify, r/Entrepreneur</t>
  </si>
  <si>
    <t xml:space="preserve">Reddit</t>
  </si>
  <si>
    <t xml:space="preserve">1 hr/day</t>
  </si>
  <si>
    <t xml:space="preserve">Warm traffic from question answers</t>
  </si>
  <si>
    <t xml:space="preserve">Pin affiliate comment on every existing YouTube video</t>
  </si>
  <si>
    <t xml:space="preserve">Retroactive link exposure</t>
  </si>
  <si>
    <t xml:space="preserve">Day 5</t>
  </si>
  <si>
    <t xml:space="preserve">Refer 1 real client to Shopify (if they don't have an account)</t>
  </si>
  <si>
    <t xml:space="preserve">Direct WhatsApp</t>
  </si>
  <si>
    <t xml:space="preserve">10 min</t>
  </si>
  <si>
    <t xml:space="preserve">$150 commission potential</t>
  </si>
  <si>
    <t xml:space="preserve">Phase 4
ANALYZE</t>
  </si>
  <si>
    <t xml:space="preserve">Day 7</t>
  </si>
  <si>
    <t xml:space="preserve">Review affiliate dashboards: clicks, conversions, top programs</t>
  </si>
  <si>
    <t xml:space="preserve">Hostinger/Shopify Dashboards</t>
  </si>
  <si>
    <t xml:space="preserve">Identify top performer</t>
  </si>
  <si>
    <t xml:space="preserve">Double down on the highest-click program with a longer video</t>
  </si>
  <si>
    <t xml:space="preserve">3 hrs</t>
  </si>
  <si>
    <t xml:space="preserve">First real commission likely this week</t>
  </si>
  <si>
    <t xml:space="preserve">Phase 5
SCALE</t>
  </si>
  <si>
    <t xml:space="preserve">Day 8–14</t>
  </si>
  <si>
    <t xml:space="preserve">Create a 'Full Tool Stack' video (long-form, 8–12 min)</t>
  </si>
  <si>
    <t xml:space="preserve">4 hrs</t>
  </si>
  <si>
    <t xml:space="preserve">High-intent viewers, multiple affiliate links</t>
  </si>
  <si>
    <t xml:space="preserve">Build a simple Notion page: 'Pankaj's Recommended Tools'</t>
  </si>
  <si>
    <t xml:space="preserve">Notion (free)</t>
  </si>
  <si>
    <t xml:space="preserve">Evergreen landing page for all links</t>
  </si>
  <si>
    <t xml:space="preserve">Add affiliate section to client onboarding emails</t>
  </si>
  <si>
    <t xml:space="preserve">Gmail / Notion SOP</t>
  </si>
  <si>
    <t xml:space="preserve">Passive referrals from every new client</t>
  </si>
  <si>
    <t xml:space="preserve">Day 15–30</t>
  </si>
  <si>
    <t xml:space="preserve">Launch SEMrush review video (high $200 commission)</t>
  </si>
  <si>
    <t xml:space="preserve">5 hrs</t>
  </si>
  <si>
    <t xml:space="preserve">High-ticket commission potential</t>
  </si>
  <si>
    <t xml:space="preserve">Set up morning automation: daily affiliate click report to Telegram</t>
  </si>
  <si>
    <t xml:space="preserve">Python + Telegram Bot</t>
  </si>
  <si>
    <t xml:space="preserve">Automated monitoring with zero manual effort</t>
  </si>
  <si>
    <t xml:space="preserve">Expand to Instagram: tool carousel posts 3x/week</t>
  </si>
  <si>
    <t xml:space="preserve">Instagram</t>
  </si>
  <si>
    <t xml:space="preserve">1 hr/post</t>
  </si>
  <si>
    <t xml:space="preserve">Second traffic channel activated</t>
  </si>
  <si>
    <t xml:space="preserve">Day 30</t>
  </si>
  <si>
    <t xml:space="preserve">Review full month P&amp;L: clicks → conversions → revenue</t>
  </si>
  <si>
    <t xml:space="preserve">This Sheet + Dashboards</t>
  </si>
  <si>
    <t xml:space="preserve">Clear data-driven plan for Month 2</t>
  </si>
  <si>
    <t xml:space="preserve">🧮  TARGET MATH CALCULATOR  |  Reverse-Engineer Your $20/Day Goal</t>
  </si>
  <si>
    <t xml:space="preserve">⚙️  CORE ASSUMPTIONS  (Blue = Edit These)</t>
  </si>
  <si>
    <t xml:space="preserve">Daily Revenue Target ($)</t>
  </si>
  <si>
    <t xml:space="preserve">Your goal</t>
  </si>
  <si>
    <t xml:space="preserve">Average Commission Per Sale ($)</t>
  </si>
  <si>
    <t xml:space="preserve">Blended across programs</t>
  </si>
  <si>
    <t xml:space="preserve">Estimated Click-Through Rate</t>
  </si>
  <si>
    <t xml:space="preserve">From content to link (1.5%)</t>
  </si>
  <si>
    <t xml:space="preserve">Estimated Conversion Rate</t>
  </si>
  <si>
    <t xml:space="preserve">From link click to purchase (2%)</t>
  </si>
  <si>
    <t xml:space="preserve">Avg. Views Per Video</t>
  </si>
  <si>
    <t xml:space="preserve">Conservative for your audience size</t>
  </si>
  <si>
    <t xml:space="preserve">USD to INR Rate</t>
  </si>
  <si>
    <t xml:space="preserve">For INR equivalent display</t>
  </si>
  <si>
    <t xml:space="preserve">📐  DERIVED CALCULATIONS  (Auto-calculated)</t>
  </si>
  <si>
    <t xml:space="preserve">Sales Needed Per Day</t>
  </si>
  <si>
    <t xml:space="preserve">How many conversions you need daily</t>
  </si>
  <si>
    <t xml:space="preserve">Daily INR Equivalent (₹)</t>
  </si>
  <si>
    <t xml:space="preserve">Your $20 in rupees</t>
  </si>
  <si>
    <t xml:space="preserve">Monthly Revenue ($)</t>
  </si>
  <si>
    <t xml:space="preserve">If you hit target every day</t>
  </si>
  <si>
    <t xml:space="preserve">Monthly Revenue (₹)</t>
  </si>
  <si>
    <t xml:space="preserve">Monthly in rupees</t>
  </si>
  <si>
    <t xml:space="preserve">Link Clicks Needed Per Day</t>
  </si>
  <si>
    <t xml:space="preserve">Clicks needed (at 2% conv. rate)</t>
  </si>
  <si>
    <t xml:space="preserve">Views Needed Per Day</t>
  </si>
  <si>
    <t xml:space="preserve">Total views for required clicks</t>
  </si>
  <si>
    <t xml:space="preserve">Videos Needed Per Day</t>
  </si>
  <si>
    <t xml:space="preserve">At avg views per video</t>
  </si>
  <si>
    <t xml:space="preserve">💰  PROGRAM COMPARISON: Sales Needed to Hit $20/Day</t>
  </si>
  <si>
    <t xml:space="preserve">Commission ($)</t>
  </si>
  <si>
    <t xml:space="preserve">Sales Needed</t>
  </si>
  <si>
    <t xml:space="preserve">Clicks Needed</t>
  </si>
  <si>
    <t xml:space="preserve">Effort Level</t>
  </si>
  <si>
    <t xml:space="preserve">🟢 Low — 1 referral/week</t>
  </si>
  <si>
    <t xml:space="preserve">🟢 Low — 1 referral/2 days</t>
  </si>
  <si>
    <t xml:space="preserve">🟢 Lowest — 1 referral/10 days</t>
  </si>
  <si>
    <t xml:space="preserve">🟡 Medium</t>
  </si>
  <si>
    <t xml:space="preserve">Amazon Associates</t>
  </si>
  <si>
    <t xml:space="preserve">🔴 High — volume needed</t>
  </si>
  <si>
    <t xml:space="preserve">Systeme.io (Recurring)</t>
  </si>
  <si>
    <t xml:space="preserve">🟡 Medium — recurring income</t>
  </si>
  <si>
    <t xml:space="preserve">🎬  CONTENT HOOK LIBRARY  |  InstaPulse / Pankaj — Ready-to-Use Scripts</t>
  </si>
  <si>
    <t xml:space="preserve">Hook Type</t>
  </si>
  <si>
    <t xml:space="preserve">Opening Line (Use Verbatim)</t>
  </si>
  <si>
    <t xml:space="preserve">Body Angle</t>
  </si>
  <si>
    <t xml:space="preserve">CTA</t>
  </si>
  <si>
    <t xml:space="preserve">Best Platform</t>
  </si>
  <si>
    <t xml:space="preserve">🔥 Authority Hook</t>
  </si>
  <si>
    <t xml:space="preserve">I've managed ₹50L+ in Meta Ads for ethnic wear brands. Here's the exact tool that saves me 3 hours/day...</t>
  </si>
  <si>
    <t xml:space="preserve">Position yourself as an agency founder → recommend Canva/SEMrush/Shopify as tools of the trade</t>
  </si>
  <si>
    <t xml:space="preserve">Link in bio / pinned comment</t>
  </si>
  <si>
    <t xml:space="preserve">YouTube Short, Reel</t>
  </si>
  <si>
    <t xml:space="preserve">⚡ Efficiency Hook</t>
  </si>
  <si>
    <t xml:space="preserve">How I manage 5 Shopify stores from my laptop in 2 hours every morning using Python + AI...</t>
  </si>
  <si>
    <t xml:space="preserve">Show your morning automation pipeline → recommend tools used in the workflow</t>
  </si>
  <si>
    <t xml:space="preserve">Check my full stack → link in bio</t>
  </si>
  <si>
    <t xml:space="preserve">YouTube, Instagram</t>
  </si>
  <si>
    <t xml:space="preserve">📊 Result Hook</t>
  </si>
  <si>
    <t xml:space="preserve">This Shopify store went from ₹0 to ₹3L/month in 90 days. The #1 tool that made it possible...</t>
  </si>
  <si>
    <t xml:space="preserve">Share real client result (anonymized) → attribute success to a specific tool</t>
  </si>
  <si>
    <t xml:space="preserve">Free trial — link in description</t>
  </si>
  <si>
    <t xml:space="preserve">YouTube, LinkedIn</t>
  </si>
  <si>
    <t xml:space="preserve">🧠 Problem-Solution Hook</t>
  </si>
  <si>
    <t xml:space="preserve">If you're manually pulling Meta Ads reports every day, you're wasting 2 hours. Here's how I automated it...</t>
  </si>
  <si>
    <t xml:space="preserve">Identify a painful problem your audience has → bridge to the tool that solves it</t>
  </si>
  <si>
    <t xml:space="preserve">Get the tool for free → link below</t>
  </si>
  <si>
    <t xml:space="preserve">YouTube Short, Reel, Reddit</t>
  </si>
  <si>
    <t xml:space="preserve">🎯 D2C Founder Hook</t>
  </si>
  <si>
    <t xml:space="preserve">Running a D2C brand on Shopify? These 3 free tools will cut your CAC in half within 30 days...</t>
  </si>
  <si>
    <t xml:space="preserve">Target D2C founders directly → recommend Shopify, Hostinger backup store, or analytics tool</t>
  </si>
  <si>
    <t xml:space="preserve">Setup guide in bio</t>
  </si>
  <si>
    <t xml:space="preserve">Facebook Groups, LinkedIn</t>
  </si>
  <si>
    <t xml:space="preserve">📱 WhatsApp Broadcast</t>
  </si>
  <si>
    <t xml:space="preserve">Hey! I just found a hosting deal that's 80% off — the same one I use for my agency clients. Expires in 48 hrs.</t>
  </si>
  <si>
    <t xml:space="preserve">Scarcity + personal recommendation → Hostinger deal link</t>
  </si>
  <si>
    <t xml:space="preserve">Grab it here: [link] (affiliate)</t>
  </si>
  <si>
    <t xml:space="preserve">WhatsApp Broadcast</t>
  </si>
  <si>
    <t xml:space="preserve">🤖 AI Tools Hook</t>
  </si>
  <si>
    <t xml:space="preserve">I replaced a ₹15,000/month video editor with a ₹999/month AI tool. Here's the honest review...</t>
  </si>
  <si>
    <t xml:space="preserve">Dramatic cost savings angle → InVideo AI / Canva Pro review</t>
  </si>
  <si>
    <t xml:space="preserve">Try free for 14 days — link in bio</t>
  </si>
  <si>
    <t xml:space="preserve">YouTube, Reel</t>
  </si>
  <si>
    <t xml:space="preserve">📧 Client Email Upsell</t>
  </si>
  <si>
    <t xml:space="preserve">P.S. — I use [Tool] for all my client reports. If you need it for your own team, I have a referral link that gives you 20% off.</t>
  </si>
  <si>
    <t xml:space="preserve">Embed naturally in monthly client report emails → Canva, Notion, or SEMrush</t>
  </si>
  <si>
    <t xml:space="preserve">Reply to this email for the link</t>
  </si>
  <si>
    <t xml:space="preserve">Gmail (client comms)</t>
  </si>
  <si>
    <t xml:space="preserve">🔗  AFFILIATE LINK TRACKER  |  All Links in One Place</t>
  </si>
  <si>
    <t xml:space="preserve">Raw Affiliate URL</t>
  </si>
  <si>
    <t xml:space="preserve">Short URL (bit.ly)</t>
  </si>
  <si>
    <t xml:space="preserve">Placement</t>
  </si>
  <si>
    <t xml:space="preserve">Total Clicks</t>
  </si>
  <si>
    <t xml:space="preserve">Last Updated</t>
  </si>
  <si>
    <t xml:space="preserve">https://shopify.pxf.io/YOUR_ID</t>
  </si>
  <si>
    <t xml:space="preserve">bit.ly/ip-shopify</t>
  </si>
  <si>
    <t xml:space="preserve">YouTube Bio, WA Broadcast</t>
  </si>
  <si>
    <t xml:space="preserve">https://hostg.xyz/YOUR_ID</t>
  </si>
  <si>
    <t xml:space="preserve">bit.ly/ip-host</t>
  </si>
  <si>
    <t xml:space="preserve">YouTube Bio, Instagram</t>
  </si>
  <si>
    <t xml:space="preserve">https://partner.canva.com/YOUR_ID</t>
  </si>
  <si>
    <t xml:space="preserve">bit.ly/ip-canva</t>
  </si>
  <si>
    <t xml:space="preserve">All Platforms</t>
  </si>
  <si>
    <t xml:space="preserve">https://semrush.com/?ref=YOUR_ID</t>
  </si>
  <si>
    <t xml:space="preserve">bit.ly/ip-sem</t>
  </si>
  <si>
    <t xml:space="preserve">YouTube Long-Form</t>
  </si>
  <si>
    <t xml:space="preserve">Amazon IN</t>
  </si>
  <si>
    <t xml:space="preserve">https://amzn.to/YOUR_ID</t>
  </si>
  <si>
    <t xml:space="preserve">bit.ly/ip-amzn</t>
  </si>
  <si>
    <t xml:space="preserve">YouTube Descriptions</t>
  </si>
  <si>
    <t xml:space="preserve">https://systeme.io/?sa=sa0YOUR_ID</t>
  </si>
  <si>
    <t xml:space="preserve">bit.ly/ip-sys</t>
  </si>
  <si>
    <t xml:space="preserve">Blog, Newsletter</t>
  </si>
  <si>
    <t xml:space="preserve">https://ai.invideo.io/YOUR_ID</t>
  </si>
  <si>
    <t xml:space="preserve">bit.ly/ip-inv</t>
  </si>
  <si>
    <t xml:space="preserve">YouTube, Reels</t>
  </si>
  <si>
    <t xml:space="preserve">💰  MONTHLY P&amp;L  |  Affiliate Income vs Effort Tracker</t>
  </si>
  <si>
    <t xml:space="preserve">Shopify ($)</t>
  </si>
  <si>
    <t xml:space="preserve">Hostinger ($)</t>
  </si>
  <si>
    <t xml:space="preserve">SEMrush ($)</t>
  </si>
  <si>
    <t xml:space="preserve">Canva ($)</t>
  </si>
  <si>
    <t xml:space="preserve">Other ($)</t>
  </si>
  <si>
    <t xml:space="preserve">Weekly Total ($)</t>
  </si>
  <si>
    <t xml:space="preserve">📊  MONTHLY SUMMARY</t>
  </si>
  <si>
    <t xml:space="preserve">Total Monthly Revenue ($)</t>
  </si>
  <si>
    <t xml:space="preserve">Total Monthly Revenue (₹)</t>
  </si>
  <si>
    <t xml:space="preserve">Target ($)</t>
  </si>
  <si>
    <t xml:space="preserve">Gap to Target ($)</t>
  </si>
  <si>
    <t xml:space="preserve">% of Target Achieved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</si>
</sst>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.00"/>
    <numFmt numFmtId="167" formatCode="#,##0.00"/>
    <numFmt numFmtId="168" formatCode="\₹#,##0"/>
    <numFmt numFmtId="169" formatCode="#,##0"/>
    <numFmt numFmtId="170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0F3460"/>
      <name val="Arial"/>
      <family val="0"/>
      <charset val="1"/>
    </font>
    <font>
      <b val="true"/>
      <sz val="9"/>
      <color rgb="FFF5A623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7F8C8D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D6EAF8"/>
        <bgColor rgb="FFD5F5E3"/>
      </patternFill>
    </fill>
    <fill>
      <patternFill patternType="solid">
        <fgColor rgb="FFFEF9E7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F2F4F7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2C3E50"/>
      </patternFill>
    </fill>
    <fill>
      <patternFill patternType="solid">
        <fgColor rgb="FFFFFFFF"/>
        <bgColor rgb="FFFEF9E7"/>
      </patternFill>
    </fill>
    <fill>
      <patternFill patternType="solid">
        <fgColor rgb="FFF2F4F7"/>
        <bgColor rgb="FFFDEDEC"/>
      </patternFill>
    </fill>
    <fill>
      <patternFill patternType="solid">
        <fgColor rgb="FF2C3E50"/>
        <bgColor rgb="FF0F3460"/>
      </patternFill>
    </fill>
    <fill>
      <patternFill patternType="solid">
        <fgColor rgb="FFF0E6FF"/>
        <bgColor rgb="FFFDEDEC"/>
      </patternFill>
    </fill>
    <fill>
      <patternFill patternType="solid">
        <fgColor rgb="FFE94560"/>
        <bgColor rgb="FFE74C3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F3460"/>
      </left>
      <right/>
      <top style="medium">
        <color rgb="FF0F3460"/>
      </top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E94560"/>
      <rgbColor rgb="FFFEF9E7"/>
      <rgbColor rgb="FFD6EAF8"/>
      <rgbColor rgb="FF660066"/>
      <rgbColor rgb="FFFF8080"/>
      <rgbColor rgb="FF0066CC"/>
      <rgbColor rgb="FFF0E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5F5E3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E74C3C"/>
      <rgbColor rgb="FF666699"/>
      <rgbColor rgb="FF969696"/>
      <rgbColor rgb="FF0F3460"/>
      <rgbColor rgb="FF27AE60"/>
      <rgbColor rgb="FF16213E"/>
      <rgbColor rgb="FF1A1A2E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2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  <c r="I3" s="2" t="s">
        <v>5</v>
      </c>
      <c r="J3" s="2"/>
    </row>
    <row r="4" customFormat="false" ht="15" hidden="false" customHeight="false" outlineLevel="0" collapsed="false">
      <c r="A4" s="2"/>
      <c r="B4" s="2"/>
      <c r="C4" s="3"/>
      <c r="D4" s="3"/>
      <c r="E4" s="4"/>
      <c r="F4" s="4"/>
      <c r="G4" s="5"/>
      <c r="H4" s="5"/>
      <c r="I4" s="2"/>
      <c r="J4" s="2"/>
    </row>
    <row r="6" customFormat="false" ht="21.75" hidden="false" customHeight="true" outlineLevel="0" collapsed="false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7" t="s">
        <v>15</v>
      </c>
      <c r="J7" s="7" t="s">
        <v>16</v>
      </c>
    </row>
    <row r="8" customFormat="false" ht="15" hidden="false" customHeight="false" outlineLevel="0" collapsed="false">
      <c r="A8" s="8" t="s">
        <v>17</v>
      </c>
      <c r="B8" s="9" t="s">
        <v>18</v>
      </c>
      <c r="C8" s="8" t="n">
        <v>0</v>
      </c>
      <c r="D8" s="8" t="n">
        <v>0</v>
      </c>
      <c r="E8" s="10" t="str">
        <f aca="false">IF(C8=0,"-",D8/C8)</f>
        <v>-</v>
      </c>
      <c r="F8" s="9" t="n">
        <v>0</v>
      </c>
      <c r="G8" s="11" t="n">
        <f aca="false">D8*F8</f>
        <v>0</v>
      </c>
      <c r="H8" s="8" t="s">
        <v>19</v>
      </c>
      <c r="I8" s="9"/>
      <c r="J8" s="9"/>
    </row>
    <row r="9" customFormat="false" ht="15" hidden="false" customHeight="false" outlineLevel="0" collapsed="false">
      <c r="A9" s="12" t="s">
        <v>20</v>
      </c>
      <c r="B9" s="13" t="s">
        <v>18</v>
      </c>
      <c r="C9" s="12" t="n">
        <v>0</v>
      </c>
      <c r="D9" s="12" t="n">
        <v>0</v>
      </c>
      <c r="E9" s="14" t="str">
        <f aca="false">IF(C9=0,"-",D9/C9)</f>
        <v>-</v>
      </c>
      <c r="F9" s="13" t="n">
        <v>0</v>
      </c>
      <c r="G9" s="15" t="n">
        <f aca="false">D9*F9</f>
        <v>0</v>
      </c>
      <c r="H9" s="12" t="s">
        <v>19</v>
      </c>
      <c r="I9" s="13"/>
      <c r="J9" s="13"/>
    </row>
    <row r="10" customFormat="false" ht="15" hidden="false" customHeight="false" outlineLevel="0" collapsed="false">
      <c r="A10" s="8" t="s">
        <v>21</v>
      </c>
      <c r="B10" s="9" t="s">
        <v>18</v>
      </c>
      <c r="C10" s="8" t="n">
        <v>0</v>
      </c>
      <c r="D10" s="8" t="n">
        <v>0</v>
      </c>
      <c r="E10" s="10" t="str">
        <f aca="false">IF(C10=0,"-",D10/C10)</f>
        <v>-</v>
      </c>
      <c r="F10" s="9" t="n">
        <v>0</v>
      </c>
      <c r="G10" s="11" t="n">
        <f aca="false">D10*F10</f>
        <v>0</v>
      </c>
      <c r="H10" s="8" t="s">
        <v>19</v>
      </c>
      <c r="I10" s="9"/>
      <c r="J10" s="9"/>
    </row>
    <row r="11" customFormat="false" ht="15" hidden="false" customHeight="false" outlineLevel="0" collapsed="false">
      <c r="A11" s="12" t="s">
        <v>22</v>
      </c>
      <c r="B11" s="13" t="s">
        <v>18</v>
      </c>
      <c r="C11" s="12" t="n">
        <v>0</v>
      </c>
      <c r="D11" s="12" t="n">
        <v>0</v>
      </c>
      <c r="E11" s="14" t="str">
        <f aca="false">IF(C11=0,"-",D11/C11)</f>
        <v>-</v>
      </c>
      <c r="F11" s="13" t="n">
        <v>0</v>
      </c>
      <c r="G11" s="15" t="n">
        <f aca="false">D11*F11</f>
        <v>0</v>
      </c>
      <c r="H11" s="12" t="s">
        <v>19</v>
      </c>
      <c r="I11" s="13"/>
      <c r="J11" s="13"/>
    </row>
    <row r="12" customFormat="false" ht="15" hidden="false" customHeight="false" outlineLevel="0" collapsed="false">
      <c r="A12" s="8" t="s">
        <v>23</v>
      </c>
      <c r="B12" s="9" t="s">
        <v>18</v>
      </c>
      <c r="C12" s="8" t="n">
        <v>0</v>
      </c>
      <c r="D12" s="8" t="n">
        <v>0</v>
      </c>
      <c r="E12" s="10" t="str">
        <f aca="false">IF(C12=0,"-",D12/C12)</f>
        <v>-</v>
      </c>
      <c r="F12" s="9" t="n">
        <v>0</v>
      </c>
      <c r="G12" s="11" t="n">
        <f aca="false">D12*F12</f>
        <v>0</v>
      </c>
      <c r="H12" s="8" t="s">
        <v>19</v>
      </c>
      <c r="I12" s="9"/>
      <c r="J12" s="9"/>
    </row>
    <row r="13" customFormat="false" ht="15" hidden="false" customHeight="false" outlineLevel="0" collapsed="false">
      <c r="A13" s="12" t="s">
        <v>24</v>
      </c>
      <c r="B13" s="13" t="s">
        <v>18</v>
      </c>
      <c r="C13" s="12" t="n">
        <v>0</v>
      </c>
      <c r="D13" s="12" t="n">
        <v>0</v>
      </c>
      <c r="E13" s="14" t="str">
        <f aca="false">IF(C13=0,"-",D13/C13)</f>
        <v>-</v>
      </c>
      <c r="F13" s="13" t="n">
        <v>0</v>
      </c>
      <c r="G13" s="15" t="n">
        <f aca="false">D13*F13</f>
        <v>0</v>
      </c>
      <c r="H13" s="12" t="s">
        <v>19</v>
      </c>
      <c r="I13" s="13"/>
      <c r="J13" s="13"/>
    </row>
    <row r="14" customFormat="false" ht="15" hidden="false" customHeight="false" outlineLevel="0" collapsed="false">
      <c r="A14" s="8" t="s">
        <v>25</v>
      </c>
      <c r="B14" s="9" t="s">
        <v>18</v>
      </c>
      <c r="C14" s="8" t="n">
        <v>0</v>
      </c>
      <c r="D14" s="8" t="n">
        <v>0</v>
      </c>
      <c r="E14" s="10" t="str">
        <f aca="false">IF(C14=0,"-",D14/C14)</f>
        <v>-</v>
      </c>
      <c r="F14" s="9" t="n">
        <v>0</v>
      </c>
      <c r="G14" s="11" t="n">
        <f aca="false">D14*F14</f>
        <v>0</v>
      </c>
      <c r="H14" s="8" t="s">
        <v>19</v>
      </c>
      <c r="I14" s="9"/>
      <c r="J14" s="9"/>
    </row>
    <row r="15" customFormat="false" ht="15" hidden="false" customHeight="false" outlineLevel="0" collapsed="false">
      <c r="A15" s="12" t="s">
        <v>26</v>
      </c>
      <c r="B15" s="13" t="s">
        <v>18</v>
      </c>
      <c r="C15" s="12" t="n">
        <v>0</v>
      </c>
      <c r="D15" s="12" t="n">
        <v>0</v>
      </c>
      <c r="E15" s="14" t="str">
        <f aca="false">IF(C15=0,"-",D15/C15)</f>
        <v>-</v>
      </c>
      <c r="F15" s="13" t="n">
        <v>0</v>
      </c>
      <c r="G15" s="15" t="n">
        <f aca="false">D15*F15</f>
        <v>0</v>
      </c>
      <c r="H15" s="12" t="s">
        <v>19</v>
      </c>
      <c r="I15" s="13"/>
      <c r="J15" s="13"/>
    </row>
    <row r="16" customFormat="false" ht="15" hidden="false" customHeight="false" outlineLevel="0" collapsed="false">
      <c r="A16" s="8" t="s">
        <v>27</v>
      </c>
      <c r="B16" s="9" t="s">
        <v>18</v>
      </c>
      <c r="C16" s="8" t="n">
        <v>0</v>
      </c>
      <c r="D16" s="8" t="n">
        <v>0</v>
      </c>
      <c r="E16" s="10" t="str">
        <f aca="false">IF(C16=0,"-",D16/C16)</f>
        <v>-</v>
      </c>
      <c r="F16" s="9" t="n">
        <v>0</v>
      </c>
      <c r="G16" s="11" t="n">
        <f aca="false">D16*F16</f>
        <v>0</v>
      </c>
      <c r="H16" s="8" t="s">
        <v>19</v>
      </c>
      <c r="I16" s="9"/>
      <c r="J16" s="9"/>
    </row>
    <row r="17" customFormat="false" ht="15" hidden="false" customHeight="false" outlineLevel="0" collapsed="false">
      <c r="A17" s="12" t="s">
        <v>28</v>
      </c>
      <c r="B17" s="13" t="s">
        <v>18</v>
      </c>
      <c r="C17" s="12" t="n">
        <v>0</v>
      </c>
      <c r="D17" s="12" t="n">
        <v>0</v>
      </c>
      <c r="E17" s="14" t="str">
        <f aca="false">IF(C17=0,"-",D17/C17)</f>
        <v>-</v>
      </c>
      <c r="F17" s="13" t="n">
        <v>0</v>
      </c>
      <c r="G17" s="15" t="n">
        <f aca="false">D17*F17</f>
        <v>0</v>
      </c>
      <c r="H17" s="12" t="s">
        <v>19</v>
      </c>
      <c r="I17" s="13"/>
      <c r="J17" s="13"/>
    </row>
    <row r="18" customFormat="false" ht="21.75" hidden="false" customHeight="true" outlineLevel="0" collapsed="false">
      <c r="A18" s="16" t="s">
        <v>29</v>
      </c>
      <c r="B18" s="16"/>
      <c r="C18" s="16" t="n">
        <f aca="false">SUM(C8:C17)</f>
        <v>0</v>
      </c>
      <c r="D18" s="16" t="n">
        <f aca="false">SUM(D8:D17)</f>
        <v>0</v>
      </c>
      <c r="E18" s="17" t="str">
        <f aca="false">IF(C18=0,"-",D18/C18)</f>
        <v>-</v>
      </c>
      <c r="F18" s="16"/>
      <c r="G18" s="18" t="n">
        <f aca="false">SUM(G8:G17)</f>
        <v>0</v>
      </c>
      <c r="H18" s="16"/>
      <c r="I18" s="16"/>
      <c r="J18" s="16"/>
    </row>
  </sheetData>
  <mergeCells count="7">
    <mergeCell ref="A1:J1"/>
    <mergeCell ref="A3:B4"/>
    <mergeCell ref="C3:D4"/>
    <mergeCell ref="E3:F4"/>
    <mergeCell ref="G3:H4"/>
    <mergeCell ref="I3:J4"/>
    <mergeCell ref="A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9" t="s">
        <v>30</v>
      </c>
      <c r="B1" s="19"/>
      <c r="C1" s="19"/>
      <c r="D1" s="19"/>
      <c r="E1" s="19"/>
      <c r="F1" s="19"/>
      <c r="G1" s="19"/>
      <c r="H1" s="19"/>
      <c r="I1" s="19"/>
    </row>
    <row r="2" customFormat="false" ht="21.75" hidden="false" customHeight="true" outlineLevel="0" collapsed="false">
      <c r="A2" s="20" t="s">
        <v>8</v>
      </c>
      <c r="B2" s="20" t="s">
        <v>31</v>
      </c>
      <c r="C2" s="20" t="s">
        <v>32</v>
      </c>
      <c r="D2" s="20" t="s">
        <v>33</v>
      </c>
      <c r="E2" s="20" t="s">
        <v>34</v>
      </c>
      <c r="F2" s="20" t="s">
        <v>35</v>
      </c>
      <c r="G2" s="20" t="s">
        <v>36</v>
      </c>
      <c r="H2" s="20" t="s">
        <v>37</v>
      </c>
      <c r="I2" s="20" t="s">
        <v>38</v>
      </c>
    </row>
    <row r="3" customFormat="false" ht="15" hidden="false" customHeight="false" outlineLevel="0" collapsed="false">
      <c r="A3" s="21" t="s">
        <v>39</v>
      </c>
      <c r="B3" s="22" t="s">
        <v>40</v>
      </c>
      <c r="C3" s="22" t="s">
        <v>41</v>
      </c>
      <c r="D3" s="23" t="s">
        <v>42</v>
      </c>
      <c r="E3" s="23" t="s">
        <v>43</v>
      </c>
      <c r="F3" s="22" t="s">
        <v>44</v>
      </c>
      <c r="G3" s="22" t="s">
        <v>45</v>
      </c>
      <c r="H3" s="23" t="s">
        <v>46</v>
      </c>
      <c r="I3" s="23" t="s">
        <v>47</v>
      </c>
    </row>
    <row r="4" customFormat="false" ht="15" hidden="false" customHeight="false" outlineLevel="0" collapsed="false">
      <c r="A4" s="21" t="s">
        <v>48</v>
      </c>
      <c r="B4" s="22" t="s">
        <v>49</v>
      </c>
      <c r="C4" s="22" t="s">
        <v>50</v>
      </c>
      <c r="D4" s="23" t="s">
        <v>42</v>
      </c>
      <c r="E4" s="23" t="s">
        <v>51</v>
      </c>
      <c r="F4" s="22" t="s">
        <v>52</v>
      </c>
      <c r="G4" s="22" t="s">
        <v>53</v>
      </c>
      <c r="H4" s="23" t="s">
        <v>46</v>
      </c>
      <c r="I4" s="23" t="s">
        <v>47</v>
      </c>
    </row>
    <row r="5" customFormat="false" ht="15" hidden="false" customHeight="false" outlineLevel="0" collapsed="false">
      <c r="A5" s="21" t="s">
        <v>54</v>
      </c>
      <c r="B5" s="22" t="s">
        <v>55</v>
      </c>
      <c r="C5" s="22" t="s">
        <v>56</v>
      </c>
      <c r="D5" s="23" t="s">
        <v>42</v>
      </c>
      <c r="E5" s="23" t="s">
        <v>57</v>
      </c>
      <c r="F5" s="22" t="s">
        <v>58</v>
      </c>
      <c r="G5" s="22" t="s">
        <v>59</v>
      </c>
      <c r="H5" s="23" t="s">
        <v>46</v>
      </c>
      <c r="I5" s="23" t="s">
        <v>47</v>
      </c>
    </row>
    <row r="6" customFormat="false" ht="15" hidden="false" customHeight="false" outlineLevel="0" collapsed="false">
      <c r="A6" s="21" t="s">
        <v>60</v>
      </c>
      <c r="B6" s="22" t="s">
        <v>61</v>
      </c>
      <c r="C6" s="22" t="s">
        <v>62</v>
      </c>
      <c r="D6" s="23" t="s">
        <v>63</v>
      </c>
      <c r="E6" s="23" t="s">
        <v>64</v>
      </c>
      <c r="F6" s="22" t="s">
        <v>65</v>
      </c>
      <c r="G6" s="22" t="s">
        <v>66</v>
      </c>
      <c r="H6" s="23" t="s">
        <v>67</v>
      </c>
      <c r="I6" s="23" t="s">
        <v>47</v>
      </c>
    </row>
    <row r="7" customFormat="false" ht="15" hidden="false" customHeight="false" outlineLevel="0" collapsed="false">
      <c r="A7" s="24" t="s">
        <v>68</v>
      </c>
      <c r="B7" s="25" t="s">
        <v>69</v>
      </c>
      <c r="C7" s="25" t="s">
        <v>70</v>
      </c>
      <c r="D7" s="26" t="s">
        <v>71</v>
      </c>
      <c r="E7" s="26" t="s">
        <v>72</v>
      </c>
      <c r="F7" s="25" t="s">
        <v>73</v>
      </c>
      <c r="G7" s="25" t="s">
        <v>74</v>
      </c>
      <c r="H7" s="26" t="s">
        <v>46</v>
      </c>
      <c r="I7" s="26" t="s">
        <v>75</v>
      </c>
    </row>
    <row r="8" customFormat="false" ht="15" hidden="false" customHeight="false" outlineLevel="0" collapsed="false">
      <c r="A8" s="24" t="s">
        <v>76</v>
      </c>
      <c r="B8" s="25" t="s">
        <v>77</v>
      </c>
      <c r="C8" s="25" t="s">
        <v>78</v>
      </c>
      <c r="D8" s="26" t="s">
        <v>78</v>
      </c>
      <c r="E8" s="26" t="s">
        <v>79</v>
      </c>
      <c r="F8" s="25" t="s">
        <v>58</v>
      </c>
      <c r="G8" s="25" t="s">
        <v>80</v>
      </c>
      <c r="H8" s="26" t="s">
        <v>67</v>
      </c>
      <c r="I8" s="26" t="s">
        <v>75</v>
      </c>
    </row>
    <row r="9" customFormat="false" ht="15" hidden="false" customHeight="false" outlineLevel="0" collapsed="false">
      <c r="A9" s="24" t="s">
        <v>81</v>
      </c>
      <c r="B9" s="25" t="s">
        <v>77</v>
      </c>
      <c r="C9" s="25" t="s">
        <v>78</v>
      </c>
      <c r="D9" s="26" t="s">
        <v>78</v>
      </c>
      <c r="E9" s="26" t="s">
        <v>79</v>
      </c>
      <c r="F9" s="25" t="s">
        <v>82</v>
      </c>
      <c r="G9" s="25" t="s">
        <v>83</v>
      </c>
      <c r="H9" s="26" t="s">
        <v>67</v>
      </c>
      <c r="I9" s="26" t="s">
        <v>75</v>
      </c>
    </row>
    <row r="10" customFormat="false" ht="15" hidden="false" customHeight="false" outlineLevel="0" collapsed="false">
      <c r="A10" s="24" t="s">
        <v>84</v>
      </c>
      <c r="B10" s="25" t="s">
        <v>85</v>
      </c>
      <c r="C10" s="25" t="s">
        <v>86</v>
      </c>
      <c r="D10" s="26" t="s">
        <v>87</v>
      </c>
      <c r="E10" s="26" t="s">
        <v>57</v>
      </c>
      <c r="F10" s="25" t="s">
        <v>88</v>
      </c>
      <c r="G10" s="25" t="s">
        <v>89</v>
      </c>
      <c r="H10" s="26" t="s">
        <v>67</v>
      </c>
      <c r="I10" s="26" t="s">
        <v>75</v>
      </c>
    </row>
    <row r="11" customFormat="false" ht="15" hidden="false" customHeight="false" outlineLevel="0" collapsed="false">
      <c r="A11" s="24" t="s">
        <v>90</v>
      </c>
      <c r="B11" s="25" t="s">
        <v>91</v>
      </c>
      <c r="C11" s="25" t="s">
        <v>92</v>
      </c>
      <c r="D11" s="26" t="s">
        <v>93</v>
      </c>
      <c r="E11" s="26" t="s">
        <v>57</v>
      </c>
      <c r="F11" s="25" t="s">
        <v>65</v>
      </c>
      <c r="G11" s="25" t="s">
        <v>94</v>
      </c>
      <c r="H11" s="26" t="s">
        <v>67</v>
      </c>
      <c r="I11" s="26" t="s">
        <v>75</v>
      </c>
    </row>
    <row r="12" customFormat="false" ht="15" hidden="false" customHeight="false" outlineLevel="0" collapsed="false">
      <c r="A12" s="24" t="s">
        <v>95</v>
      </c>
      <c r="B12" s="25" t="s">
        <v>49</v>
      </c>
      <c r="C12" s="25" t="s">
        <v>96</v>
      </c>
      <c r="D12" s="26" t="s">
        <v>93</v>
      </c>
      <c r="E12" s="26" t="s">
        <v>79</v>
      </c>
      <c r="F12" s="25" t="s">
        <v>52</v>
      </c>
      <c r="G12" s="25" t="s">
        <v>97</v>
      </c>
      <c r="H12" s="26" t="s">
        <v>67</v>
      </c>
      <c r="I12" s="26" t="s">
        <v>75</v>
      </c>
    </row>
    <row r="13" customFormat="false" ht="15" hidden="false" customHeight="false" outlineLevel="0" collapsed="false">
      <c r="A13" s="27" t="s">
        <v>98</v>
      </c>
      <c r="B13" s="28" t="s">
        <v>99</v>
      </c>
      <c r="C13" s="28" t="s">
        <v>100</v>
      </c>
      <c r="D13" s="29" t="s">
        <v>101</v>
      </c>
      <c r="E13" s="29" t="s">
        <v>57</v>
      </c>
      <c r="F13" s="28" t="s">
        <v>65</v>
      </c>
      <c r="G13" s="28" t="s">
        <v>102</v>
      </c>
      <c r="H13" s="29" t="s">
        <v>67</v>
      </c>
      <c r="I13" s="29" t="s">
        <v>103</v>
      </c>
    </row>
    <row r="14" customFormat="false" ht="15" hidden="false" customHeight="false" outlineLevel="0" collapsed="false">
      <c r="A14" s="27" t="s">
        <v>104</v>
      </c>
      <c r="B14" s="28" t="s">
        <v>105</v>
      </c>
      <c r="C14" s="28" t="s">
        <v>106</v>
      </c>
      <c r="D14" s="29" t="s">
        <v>101</v>
      </c>
      <c r="E14" s="29" t="s">
        <v>57</v>
      </c>
      <c r="F14" s="28" t="s">
        <v>65</v>
      </c>
      <c r="G14" s="28" t="s">
        <v>107</v>
      </c>
      <c r="H14" s="29" t="s">
        <v>67</v>
      </c>
      <c r="I14" s="29" t="s">
        <v>103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16"/>
  </cols>
  <sheetData>
    <row r="1" customFormat="false" ht="39.75" hidden="false" customHeight="true" outlineLevel="0" collapsed="false">
      <c r="A1" s="19" t="s">
        <v>108</v>
      </c>
      <c r="B1" s="19"/>
      <c r="C1" s="19"/>
      <c r="D1" s="19"/>
      <c r="E1" s="19"/>
      <c r="F1" s="19"/>
      <c r="G1" s="19"/>
    </row>
    <row r="2" customFormat="false" ht="21.75" hidden="false" customHeight="true" outlineLevel="0" collapsed="false">
      <c r="A2" s="20" t="s">
        <v>109</v>
      </c>
      <c r="B2" s="20" t="s">
        <v>110</v>
      </c>
      <c r="C2" s="20" t="s">
        <v>111</v>
      </c>
      <c r="D2" s="20" t="s">
        <v>112</v>
      </c>
      <c r="E2" s="20" t="s">
        <v>113</v>
      </c>
      <c r="F2" s="20" t="s">
        <v>114</v>
      </c>
      <c r="G2" s="20" t="s">
        <v>37</v>
      </c>
    </row>
    <row r="3" customFormat="false" ht="31.5" hidden="false" customHeight="true" outlineLevel="0" collapsed="false">
      <c r="A3" s="30" t="s">
        <v>115</v>
      </c>
      <c r="B3" s="30" t="s">
        <v>116</v>
      </c>
      <c r="C3" s="28" t="s">
        <v>117</v>
      </c>
      <c r="D3" s="28" t="s">
        <v>118</v>
      </c>
      <c r="E3" s="29" t="s">
        <v>119</v>
      </c>
      <c r="F3" s="28" t="s">
        <v>120</v>
      </c>
      <c r="G3" s="29" t="s">
        <v>121</v>
      </c>
    </row>
    <row r="4" customFormat="false" ht="31.5" hidden="false" customHeight="true" outlineLevel="0" collapsed="false">
      <c r="A4" s="30" t="s">
        <v>115</v>
      </c>
      <c r="B4" s="30" t="s">
        <v>116</v>
      </c>
      <c r="C4" s="28" t="s">
        <v>122</v>
      </c>
      <c r="D4" s="28" t="s">
        <v>123</v>
      </c>
      <c r="E4" s="29" t="s">
        <v>124</v>
      </c>
      <c r="F4" s="28" t="s">
        <v>125</v>
      </c>
      <c r="G4" s="29" t="s">
        <v>121</v>
      </c>
    </row>
    <row r="5" customFormat="false" ht="31.5" hidden="false" customHeight="true" outlineLevel="0" collapsed="false">
      <c r="A5" s="30" t="s">
        <v>115</v>
      </c>
      <c r="B5" s="30" t="s">
        <v>116</v>
      </c>
      <c r="C5" s="28" t="s">
        <v>126</v>
      </c>
      <c r="D5" s="28" t="s">
        <v>127</v>
      </c>
      <c r="E5" s="29" t="s">
        <v>128</v>
      </c>
      <c r="F5" s="28" t="s">
        <v>129</v>
      </c>
      <c r="G5" s="29" t="s">
        <v>121</v>
      </c>
    </row>
    <row r="6" customFormat="false" ht="31.5" hidden="false" customHeight="true" outlineLevel="0" collapsed="false">
      <c r="A6" s="30" t="s">
        <v>115</v>
      </c>
      <c r="B6" s="30" t="s">
        <v>116</v>
      </c>
      <c r="C6" s="28" t="s">
        <v>130</v>
      </c>
      <c r="D6" s="28" t="s">
        <v>131</v>
      </c>
      <c r="E6" s="29" t="s">
        <v>124</v>
      </c>
      <c r="F6" s="28" t="s">
        <v>132</v>
      </c>
      <c r="G6" s="29" t="s">
        <v>121</v>
      </c>
    </row>
    <row r="7" customFormat="false" ht="31.5" hidden="false" customHeight="true" outlineLevel="0" collapsed="false">
      <c r="A7" s="31" t="s">
        <v>133</v>
      </c>
      <c r="B7" s="31" t="s">
        <v>134</v>
      </c>
      <c r="C7" s="32" t="s">
        <v>135</v>
      </c>
      <c r="D7" s="32" t="s">
        <v>136</v>
      </c>
      <c r="E7" s="33" t="s">
        <v>119</v>
      </c>
      <c r="F7" s="32" t="s">
        <v>137</v>
      </c>
      <c r="G7" s="33" t="s">
        <v>121</v>
      </c>
    </row>
    <row r="8" customFormat="false" ht="31.5" hidden="false" customHeight="true" outlineLevel="0" collapsed="false">
      <c r="A8" s="31" t="s">
        <v>133</v>
      </c>
      <c r="B8" s="31" t="s">
        <v>134</v>
      </c>
      <c r="C8" s="32" t="s">
        <v>138</v>
      </c>
      <c r="D8" s="32" t="s">
        <v>131</v>
      </c>
      <c r="E8" s="33" t="s">
        <v>124</v>
      </c>
      <c r="F8" s="32" t="s">
        <v>139</v>
      </c>
      <c r="G8" s="33" t="s">
        <v>121</v>
      </c>
    </row>
    <row r="9" customFormat="false" ht="31.5" hidden="false" customHeight="true" outlineLevel="0" collapsed="false">
      <c r="A9" s="31" t="s">
        <v>133</v>
      </c>
      <c r="B9" s="31" t="s">
        <v>134</v>
      </c>
      <c r="C9" s="32" t="s">
        <v>140</v>
      </c>
      <c r="D9" s="32" t="s">
        <v>141</v>
      </c>
      <c r="E9" s="33" t="s">
        <v>128</v>
      </c>
      <c r="F9" s="32" t="s">
        <v>142</v>
      </c>
      <c r="G9" s="33" t="s">
        <v>121</v>
      </c>
    </row>
    <row r="10" customFormat="false" ht="31.5" hidden="false" customHeight="true" outlineLevel="0" collapsed="false">
      <c r="A10" s="31" t="s">
        <v>133</v>
      </c>
      <c r="B10" s="31" t="s">
        <v>143</v>
      </c>
      <c r="C10" s="32" t="s">
        <v>144</v>
      </c>
      <c r="D10" s="32" t="s">
        <v>145</v>
      </c>
      <c r="E10" s="33" t="s">
        <v>119</v>
      </c>
      <c r="F10" s="32" t="s">
        <v>146</v>
      </c>
      <c r="G10" s="33" t="s">
        <v>121</v>
      </c>
    </row>
    <row r="11" customFormat="false" ht="31.5" hidden="false" customHeight="true" outlineLevel="0" collapsed="false">
      <c r="A11" s="31" t="s">
        <v>133</v>
      </c>
      <c r="B11" s="31" t="s">
        <v>143</v>
      </c>
      <c r="C11" s="32" t="s">
        <v>147</v>
      </c>
      <c r="D11" s="32" t="s">
        <v>127</v>
      </c>
      <c r="E11" s="33" t="s">
        <v>124</v>
      </c>
      <c r="F11" s="32" t="s">
        <v>148</v>
      </c>
      <c r="G11" s="33" t="s">
        <v>121</v>
      </c>
    </row>
    <row r="12" customFormat="false" ht="31.5" hidden="false" customHeight="true" outlineLevel="0" collapsed="false">
      <c r="A12" s="34" t="s">
        <v>149</v>
      </c>
      <c r="B12" s="34" t="s">
        <v>150</v>
      </c>
      <c r="C12" s="25" t="s">
        <v>151</v>
      </c>
      <c r="D12" s="25" t="s">
        <v>152</v>
      </c>
      <c r="E12" s="26" t="s">
        <v>153</v>
      </c>
      <c r="F12" s="25" t="s">
        <v>154</v>
      </c>
      <c r="G12" s="26" t="s">
        <v>121</v>
      </c>
    </row>
    <row r="13" customFormat="false" ht="31.5" hidden="false" customHeight="true" outlineLevel="0" collapsed="false">
      <c r="A13" s="34" t="s">
        <v>149</v>
      </c>
      <c r="B13" s="34" t="s">
        <v>150</v>
      </c>
      <c r="C13" s="25" t="s">
        <v>155</v>
      </c>
      <c r="D13" s="25" t="s">
        <v>156</v>
      </c>
      <c r="E13" s="26" t="s">
        <v>157</v>
      </c>
      <c r="F13" s="25" t="s">
        <v>158</v>
      </c>
      <c r="G13" s="26" t="s">
        <v>121</v>
      </c>
    </row>
    <row r="14" customFormat="false" ht="31.5" hidden="false" customHeight="true" outlineLevel="0" collapsed="false">
      <c r="A14" s="34" t="s">
        <v>149</v>
      </c>
      <c r="B14" s="34" t="s">
        <v>150</v>
      </c>
      <c r="C14" s="25" t="s">
        <v>159</v>
      </c>
      <c r="D14" s="25" t="s">
        <v>127</v>
      </c>
      <c r="E14" s="26" t="s">
        <v>128</v>
      </c>
      <c r="F14" s="25" t="s">
        <v>160</v>
      </c>
      <c r="G14" s="26" t="s">
        <v>121</v>
      </c>
    </row>
    <row r="15" customFormat="false" ht="31.5" hidden="false" customHeight="true" outlineLevel="0" collapsed="false">
      <c r="A15" s="34" t="s">
        <v>149</v>
      </c>
      <c r="B15" s="34" t="s">
        <v>161</v>
      </c>
      <c r="C15" s="25" t="s">
        <v>162</v>
      </c>
      <c r="D15" s="25" t="s">
        <v>163</v>
      </c>
      <c r="E15" s="26" t="s">
        <v>164</v>
      </c>
      <c r="F15" s="25" t="s">
        <v>165</v>
      </c>
      <c r="G15" s="26" t="s">
        <v>121</v>
      </c>
    </row>
    <row r="16" customFormat="false" ht="31.5" hidden="false" customHeight="true" outlineLevel="0" collapsed="false">
      <c r="A16" s="35" t="s">
        <v>166</v>
      </c>
      <c r="B16" s="35" t="s">
        <v>167</v>
      </c>
      <c r="C16" s="22" t="s">
        <v>168</v>
      </c>
      <c r="D16" s="22" t="s">
        <v>169</v>
      </c>
      <c r="E16" s="23" t="s">
        <v>128</v>
      </c>
      <c r="F16" s="22" t="s">
        <v>170</v>
      </c>
      <c r="G16" s="23" t="s">
        <v>121</v>
      </c>
    </row>
    <row r="17" customFormat="false" ht="31.5" hidden="false" customHeight="true" outlineLevel="0" collapsed="false">
      <c r="A17" s="35" t="s">
        <v>166</v>
      </c>
      <c r="B17" s="35" t="s">
        <v>167</v>
      </c>
      <c r="C17" s="22" t="s">
        <v>171</v>
      </c>
      <c r="D17" s="22" t="s">
        <v>152</v>
      </c>
      <c r="E17" s="23" t="s">
        <v>172</v>
      </c>
      <c r="F17" s="22" t="s">
        <v>173</v>
      </c>
      <c r="G17" s="23" t="s">
        <v>121</v>
      </c>
    </row>
    <row r="18" customFormat="false" ht="31.5" hidden="false" customHeight="true" outlineLevel="0" collapsed="false">
      <c r="A18" s="36" t="s">
        <v>174</v>
      </c>
      <c r="B18" s="36" t="s">
        <v>175</v>
      </c>
      <c r="C18" s="37" t="s">
        <v>176</v>
      </c>
      <c r="D18" s="37" t="s">
        <v>152</v>
      </c>
      <c r="E18" s="38" t="s">
        <v>177</v>
      </c>
      <c r="F18" s="37" t="s">
        <v>178</v>
      </c>
      <c r="G18" s="38" t="s">
        <v>121</v>
      </c>
    </row>
    <row r="19" customFormat="false" ht="31.5" hidden="false" customHeight="true" outlineLevel="0" collapsed="false">
      <c r="A19" s="36" t="s">
        <v>174</v>
      </c>
      <c r="B19" s="36" t="s">
        <v>175</v>
      </c>
      <c r="C19" s="37" t="s">
        <v>179</v>
      </c>
      <c r="D19" s="37" t="s">
        <v>180</v>
      </c>
      <c r="E19" s="38" t="s">
        <v>128</v>
      </c>
      <c r="F19" s="37" t="s">
        <v>181</v>
      </c>
      <c r="G19" s="38" t="s">
        <v>121</v>
      </c>
    </row>
    <row r="20" customFormat="false" ht="31.5" hidden="false" customHeight="true" outlineLevel="0" collapsed="false">
      <c r="A20" s="36" t="s">
        <v>174</v>
      </c>
      <c r="B20" s="36" t="s">
        <v>175</v>
      </c>
      <c r="C20" s="37" t="s">
        <v>182</v>
      </c>
      <c r="D20" s="37" t="s">
        <v>183</v>
      </c>
      <c r="E20" s="38" t="s">
        <v>124</v>
      </c>
      <c r="F20" s="37" t="s">
        <v>184</v>
      </c>
      <c r="G20" s="38" t="s">
        <v>121</v>
      </c>
    </row>
    <row r="21" customFormat="false" ht="31.5" hidden="false" customHeight="true" outlineLevel="0" collapsed="false">
      <c r="A21" s="36" t="s">
        <v>174</v>
      </c>
      <c r="B21" s="36" t="s">
        <v>185</v>
      </c>
      <c r="C21" s="37" t="s">
        <v>186</v>
      </c>
      <c r="D21" s="37" t="s">
        <v>152</v>
      </c>
      <c r="E21" s="38" t="s">
        <v>187</v>
      </c>
      <c r="F21" s="37" t="s">
        <v>188</v>
      </c>
      <c r="G21" s="38" t="s">
        <v>121</v>
      </c>
    </row>
    <row r="22" customFormat="false" ht="31.5" hidden="false" customHeight="true" outlineLevel="0" collapsed="false">
      <c r="A22" s="36" t="s">
        <v>174</v>
      </c>
      <c r="B22" s="36" t="s">
        <v>185</v>
      </c>
      <c r="C22" s="37" t="s">
        <v>189</v>
      </c>
      <c r="D22" s="37" t="s">
        <v>190</v>
      </c>
      <c r="E22" s="38" t="s">
        <v>172</v>
      </c>
      <c r="F22" s="37" t="s">
        <v>191</v>
      </c>
      <c r="G22" s="38" t="s">
        <v>121</v>
      </c>
    </row>
    <row r="23" customFormat="false" ht="31.5" hidden="false" customHeight="true" outlineLevel="0" collapsed="false">
      <c r="A23" s="36" t="s">
        <v>174</v>
      </c>
      <c r="B23" s="36" t="s">
        <v>185</v>
      </c>
      <c r="C23" s="37" t="s">
        <v>192</v>
      </c>
      <c r="D23" s="37" t="s">
        <v>193</v>
      </c>
      <c r="E23" s="38" t="s">
        <v>194</v>
      </c>
      <c r="F23" s="37" t="s">
        <v>195</v>
      </c>
      <c r="G23" s="38" t="s">
        <v>121</v>
      </c>
    </row>
    <row r="24" customFormat="false" ht="31.5" hidden="false" customHeight="true" outlineLevel="0" collapsed="false">
      <c r="A24" s="36" t="s">
        <v>174</v>
      </c>
      <c r="B24" s="36" t="s">
        <v>196</v>
      </c>
      <c r="C24" s="37" t="s">
        <v>197</v>
      </c>
      <c r="D24" s="37" t="s">
        <v>198</v>
      </c>
      <c r="E24" s="38" t="s">
        <v>128</v>
      </c>
      <c r="F24" s="37" t="s">
        <v>199</v>
      </c>
      <c r="G24" s="38" t="s">
        <v>121</v>
      </c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G3:G24" type="list">
      <formula1>"[ ],🔄 In Progress,✅ Done,⏭ 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39.75" hidden="false" customHeight="true" outlineLevel="0" collapsed="false">
      <c r="A1" s="19" t="s">
        <v>200</v>
      </c>
      <c r="B1" s="19"/>
      <c r="C1" s="19"/>
      <c r="D1" s="19"/>
      <c r="E1" s="19"/>
      <c r="F1" s="19"/>
    </row>
    <row r="3" customFormat="false" ht="15" hidden="false" customHeight="true" outlineLevel="0" collapsed="false">
      <c r="A3" s="39" t="s">
        <v>201</v>
      </c>
      <c r="B3" s="39"/>
      <c r="C3" s="39"/>
      <c r="D3" s="39"/>
      <c r="E3" s="39"/>
      <c r="F3" s="39"/>
    </row>
    <row r="4" customFormat="false" ht="15" hidden="false" customHeight="false" outlineLevel="0" collapsed="false">
      <c r="A4" s="40" t="s">
        <v>202</v>
      </c>
      <c r="B4" s="41" t="n">
        <v>20</v>
      </c>
      <c r="C4" s="42" t="s">
        <v>203</v>
      </c>
    </row>
    <row r="5" customFormat="false" ht="23.85" hidden="false" customHeight="false" outlineLevel="0" collapsed="false">
      <c r="A5" s="40" t="s">
        <v>204</v>
      </c>
      <c r="B5" s="43" t="n">
        <v>15</v>
      </c>
      <c r="C5" s="42" t="s">
        <v>205</v>
      </c>
    </row>
    <row r="6" customFormat="false" ht="23.85" hidden="false" customHeight="false" outlineLevel="0" collapsed="false">
      <c r="A6" s="40" t="s">
        <v>206</v>
      </c>
      <c r="B6" s="44" t="n">
        <v>0.015</v>
      </c>
      <c r="C6" s="42" t="s">
        <v>207</v>
      </c>
    </row>
    <row r="7" customFormat="false" ht="23.85" hidden="false" customHeight="false" outlineLevel="0" collapsed="false">
      <c r="A7" s="40" t="s">
        <v>208</v>
      </c>
      <c r="B7" s="44" t="n">
        <v>0.02</v>
      </c>
      <c r="C7" s="42" t="s">
        <v>209</v>
      </c>
    </row>
    <row r="8" customFormat="false" ht="23.85" hidden="false" customHeight="false" outlineLevel="0" collapsed="false">
      <c r="A8" s="40" t="s">
        <v>210</v>
      </c>
      <c r="B8" s="43" t="n">
        <v>600</v>
      </c>
      <c r="C8" s="42" t="s">
        <v>211</v>
      </c>
    </row>
    <row r="9" customFormat="false" ht="23.85" hidden="false" customHeight="false" outlineLevel="0" collapsed="false">
      <c r="A9" s="40" t="s">
        <v>212</v>
      </c>
      <c r="B9" s="43" t="n">
        <v>83</v>
      </c>
      <c r="C9" s="42" t="s">
        <v>213</v>
      </c>
    </row>
    <row r="11" customFormat="false" ht="15" hidden="false" customHeight="true" outlineLevel="0" collapsed="false">
      <c r="A11" s="45" t="s">
        <v>214</v>
      </c>
      <c r="B11" s="45"/>
      <c r="C11" s="45"/>
      <c r="D11" s="45"/>
      <c r="E11" s="45"/>
      <c r="F11" s="45"/>
    </row>
    <row r="12" customFormat="false" ht="35.05" hidden="false" customHeight="false" outlineLevel="0" collapsed="false">
      <c r="A12" s="40" t="s">
        <v>215</v>
      </c>
      <c r="B12" s="46" t="n">
        <f aca="false">B4/B5</f>
        <v>1.33333333333333</v>
      </c>
      <c r="C12" s="42" t="s">
        <v>216</v>
      </c>
    </row>
    <row r="13" customFormat="false" ht="15" hidden="false" customHeight="false" outlineLevel="0" collapsed="false">
      <c r="A13" s="40" t="s">
        <v>217</v>
      </c>
      <c r="B13" s="47" t="n">
        <f aca="false">B4*B9</f>
        <v>1660</v>
      </c>
      <c r="C13" s="42" t="s">
        <v>218</v>
      </c>
    </row>
    <row r="14" customFormat="false" ht="23.85" hidden="false" customHeight="false" outlineLevel="0" collapsed="false">
      <c r="A14" s="40" t="s">
        <v>219</v>
      </c>
      <c r="B14" s="48" t="n">
        <f aca="false">B4*30</f>
        <v>600</v>
      </c>
      <c r="C14" s="42" t="s">
        <v>220</v>
      </c>
    </row>
    <row r="15" customFormat="false" ht="15" hidden="false" customHeight="false" outlineLevel="0" collapsed="false">
      <c r="A15" s="40" t="s">
        <v>221</v>
      </c>
      <c r="B15" s="47" t="n">
        <f aca="false">B4*30*B9</f>
        <v>49800</v>
      </c>
      <c r="C15" s="42" t="s">
        <v>222</v>
      </c>
    </row>
    <row r="16" customFormat="false" ht="23.85" hidden="false" customHeight="false" outlineLevel="0" collapsed="false">
      <c r="A16" s="40" t="s">
        <v>223</v>
      </c>
      <c r="B16" s="49" t="n">
        <f aca="false">B12/B7</f>
        <v>66.6666666666667</v>
      </c>
      <c r="C16" s="42" t="s">
        <v>224</v>
      </c>
    </row>
    <row r="17" customFormat="false" ht="23.85" hidden="false" customHeight="false" outlineLevel="0" collapsed="false">
      <c r="A17" s="40" t="s">
        <v>225</v>
      </c>
      <c r="B17" s="49" t="n">
        <f aca="false">B16/B6</f>
        <v>4444.44444444444</v>
      </c>
      <c r="C17" s="42" t="s">
        <v>226</v>
      </c>
    </row>
    <row r="18" customFormat="false" ht="23.85" hidden="false" customHeight="false" outlineLevel="0" collapsed="false">
      <c r="A18" s="40" t="s">
        <v>227</v>
      </c>
      <c r="B18" s="50" t="n">
        <f aca="false">B17/B8</f>
        <v>7.40740740740741</v>
      </c>
      <c r="C18" s="42" t="s">
        <v>228</v>
      </c>
    </row>
    <row r="20" customFormat="false" ht="15" hidden="false" customHeight="true" outlineLevel="0" collapsed="false">
      <c r="A20" s="51" t="s">
        <v>229</v>
      </c>
      <c r="B20" s="51"/>
      <c r="C20" s="51"/>
      <c r="D20" s="51"/>
      <c r="E20" s="51"/>
      <c r="F20" s="51"/>
    </row>
    <row r="21" customFormat="false" ht="15" hidden="false" customHeight="false" outlineLevel="0" collapsed="false">
      <c r="A21" s="52" t="s">
        <v>8</v>
      </c>
      <c r="B21" s="52" t="s">
        <v>230</v>
      </c>
      <c r="C21" s="52" t="s">
        <v>231</v>
      </c>
      <c r="D21" s="52" t="s">
        <v>11</v>
      </c>
      <c r="E21" s="52" t="s">
        <v>232</v>
      </c>
      <c r="F21" s="52" t="s">
        <v>233</v>
      </c>
    </row>
    <row r="22" customFormat="false" ht="15" hidden="false" customHeight="false" outlineLevel="0" collapsed="false">
      <c r="A22" s="53" t="s">
        <v>39</v>
      </c>
      <c r="B22" s="54" t="n">
        <v>150</v>
      </c>
      <c r="C22" s="8" t="n">
        <f aca="false">B4/B22</f>
        <v>0.133333333333333</v>
      </c>
      <c r="D22" s="10" t="n">
        <v>0.03</v>
      </c>
      <c r="E22" s="8" t="n">
        <f aca="false">C22/D22</f>
        <v>4.44444444444445</v>
      </c>
      <c r="F22" s="9" t="s">
        <v>234</v>
      </c>
    </row>
    <row r="23" customFormat="false" ht="15" hidden="false" customHeight="false" outlineLevel="0" collapsed="false">
      <c r="A23" s="40" t="s">
        <v>48</v>
      </c>
      <c r="B23" s="55" t="n">
        <v>40</v>
      </c>
      <c r="C23" s="12" t="n">
        <f aca="false">B4/B23</f>
        <v>0.5</v>
      </c>
      <c r="D23" s="14" t="n">
        <v>0.02</v>
      </c>
      <c r="E23" s="12" t="n">
        <f aca="false">C23/D23</f>
        <v>25</v>
      </c>
      <c r="F23" s="13" t="s">
        <v>235</v>
      </c>
    </row>
    <row r="24" customFormat="false" ht="15" hidden="false" customHeight="false" outlineLevel="0" collapsed="false">
      <c r="A24" s="53" t="s">
        <v>60</v>
      </c>
      <c r="B24" s="54" t="n">
        <v>200</v>
      </c>
      <c r="C24" s="8" t="n">
        <f aca="false">B4/B24</f>
        <v>0.1</v>
      </c>
      <c r="D24" s="10" t="n">
        <v>0.015</v>
      </c>
      <c r="E24" s="8" t="n">
        <f aca="false">C24/D24</f>
        <v>6.66666666666667</v>
      </c>
      <c r="F24" s="9" t="s">
        <v>236</v>
      </c>
    </row>
    <row r="25" customFormat="false" ht="15" hidden="false" customHeight="false" outlineLevel="0" collapsed="false">
      <c r="A25" s="40" t="s">
        <v>54</v>
      </c>
      <c r="B25" s="55" t="n">
        <v>36</v>
      </c>
      <c r="C25" s="12" t="n">
        <f aca="false">B4/B25</f>
        <v>0.555555555555556</v>
      </c>
      <c r="D25" s="14" t="n">
        <v>0.02</v>
      </c>
      <c r="E25" s="12" t="n">
        <f aca="false">C25/D25</f>
        <v>27.7777777777778</v>
      </c>
      <c r="F25" s="13" t="s">
        <v>237</v>
      </c>
    </row>
    <row r="26" customFormat="false" ht="15" hidden="false" customHeight="false" outlineLevel="0" collapsed="false">
      <c r="A26" s="53" t="s">
        <v>238</v>
      </c>
      <c r="B26" s="54" t="n">
        <v>1.5</v>
      </c>
      <c r="C26" s="8" t="n">
        <f aca="false">B4/B26</f>
        <v>13.3333333333333</v>
      </c>
      <c r="D26" s="10" t="n">
        <v>0.04</v>
      </c>
      <c r="E26" s="8" t="n">
        <f aca="false">C26/D26</f>
        <v>333.333333333333</v>
      </c>
      <c r="F26" s="9" t="s">
        <v>239</v>
      </c>
    </row>
    <row r="27" customFormat="false" ht="15" hidden="false" customHeight="false" outlineLevel="0" collapsed="false">
      <c r="A27" s="40" t="s">
        <v>240</v>
      </c>
      <c r="B27" s="55" t="n">
        <v>25</v>
      </c>
      <c r="C27" s="12" t="n">
        <f aca="false">B4/B27</f>
        <v>0.8</v>
      </c>
      <c r="D27" s="14" t="n">
        <v>0.02</v>
      </c>
      <c r="E27" s="12" t="n">
        <f aca="false">C27/D27</f>
        <v>40</v>
      </c>
      <c r="F27" s="13" t="s">
        <v>241</v>
      </c>
    </row>
  </sheetData>
  <mergeCells count="4">
    <mergeCell ref="A1:F1"/>
    <mergeCell ref="A3:F3"/>
    <mergeCell ref="A11:F11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39.75" hidden="false" customHeight="true" outlineLevel="0" collapsed="false">
      <c r="A1" s="19" t="s">
        <v>242</v>
      </c>
      <c r="B1" s="19"/>
      <c r="C1" s="19"/>
      <c r="D1" s="19"/>
      <c r="E1" s="19"/>
    </row>
    <row r="2" customFormat="false" ht="21.75" hidden="false" customHeight="true" outlineLevel="0" collapsed="false">
      <c r="A2" s="20" t="s">
        <v>243</v>
      </c>
      <c r="B2" s="20" t="s">
        <v>244</v>
      </c>
      <c r="C2" s="20" t="s">
        <v>245</v>
      </c>
      <c r="D2" s="20" t="s">
        <v>246</v>
      </c>
      <c r="E2" s="20" t="s">
        <v>247</v>
      </c>
    </row>
    <row r="3" customFormat="false" ht="45" hidden="false" customHeight="true" outlineLevel="0" collapsed="false">
      <c r="A3" s="27" t="s">
        <v>248</v>
      </c>
      <c r="B3" s="28" t="s">
        <v>249</v>
      </c>
      <c r="C3" s="28" t="s">
        <v>250</v>
      </c>
      <c r="D3" s="28" t="s">
        <v>251</v>
      </c>
      <c r="E3" s="28" t="s">
        <v>252</v>
      </c>
    </row>
    <row r="4" customFormat="false" ht="45" hidden="false" customHeight="true" outlineLevel="0" collapsed="false">
      <c r="A4" s="56" t="s">
        <v>253</v>
      </c>
      <c r="B4" s="32" t="s">
        <v>254</v>
      </c>
      <c r="C4" s="32" t="s">
        <v>255</v>
      </c>
      <c r="D4" s="32" t="s">
        <v>256</v>
      </c>
      <c r="E4" s="32" t="s">
        <v>257</v>
      </c>
    </row>
    <row r="5" customFormat="false" ht="45" hidden="false" customHeight="true" outlineLevel="0" collapsed="false">
      <c r="A5" s="24" t="s">
        <v>258</v>
      </c>
      <c r="B5" s="25" t="s">
        <v>259</v>
      </c>
      <c r="C5" s="25" t="s">
        <v>260</v>
      </c>
      <c r="D5" s="25" t="s">
        <v>261</v>
      </c>
      <c r="E5" s="25" t="s">
        <v>262</v>
      </c>
    </row>
    <row r="6" customFormat="false" ht="45" hidden="false" customHeight="true" outlineLevel="0" collapsed="false">
      <c r="A6" s="21" t="s">
        <v>263</v>
      </c>
      <c r="B6" s="22" t="s">
        <v>264</v>
      </c>
      <c r="C6" s="22" t="s">
        <v>265</v>
      </c>
      <c r="D6" s="22" t="s">
        <v>266</v>
      </c>
      <c r="E6" s="22" t="s">
        <v>267</v>
      </c>
    </row>
    <row r="7" customFormat="false" ht="45" hidden="false" customHeight="true" outlineLevel="0" collapsed="false">
      <c r="A7" s="57" t="s">
        <v>268</v>
      </c>
      <c r="B7" s="37" t="s">
        <v>269</v>
      </c>
      <c r="C7" s="37" t="s">
        <v>270</v>
      </c>
      <c r="D7" s="37" t="s">
        <v>271</v>
      </c>
      <c r="E7" s="37" t="s">
        <v>272</v>
      </c>
    </row>
    <row r="8" customFormat="false" ht="45" hidden="false" customHeight="true" outlineLevel="0" collapsed="false">
      <c r="A8" s="27" t="s">
        <v>273</v>
      </c>
      <c r="B8" s="28" t="s">
        <v>274</v>
      </c>
      <c r="C8" s="28" t="s">
        <v>275</v>
      </c>
      <c r="D8" s="28" t="s">
        <v>276</v>
      </c>
      <c r="E8" s="28" t="s">
        <v>277</v>
      </c>
    </row>
    <row r="9" customFormat="false" ht="45" hidden="false" customHeight="true" outlineLevel="0" collapsed="false">
      <c r="A9" s="56" t="s">
        <v>278</v>
      </c>
      <c r="B9" s="32" t="s">
        <v>279</v>
      </c>
      <c r="C9" s="32" t="s">
        <v>280</v>
      </c>
      <c r="D9" s="32" t="s">
        <v>281</v>
      </c>
      <c r="E9" s="32" t="s">
        <v>282</v>
      </c>
    </row>
    <row r="10" customFormat="false" ht="45" hidden="false" customHeight="true" outlineLevel="0" collapsed="false">
      <c r="A10" s="24" t="s">
        <v>283</v>
      </c>
      <c r="B10" s="25" t="s">
        <v>284</v>
      </c>
      <c r="C10" s="25" t="s">
        <v>285</v>
      </c>
      <c r="D10" s="25" t="s">
        <v>286</v>
      </c>
      <c r="E10" s="25" t="s">
        <v>287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39.75" hidden="false" customHeight="true" outlineLevel="0" collapsed="false">
      <c r="A1" s="19" t="s">
        <v>288</v>
      </c>
      <c r="B1" s="19"/>
      <c r="C1" s="19"/>
      <c r="D1" s="19"/>
      <c r="E1" s="19"/>
      <c r="F1" s="19"/>
      <c r="G1" s="19"/>
      <c r="H1" s="19"/>
    </row>
    <row r="2" customFormat="false" ht="21.75" hidden="false" customHeight="true" outlineLevel="0" collapsed="false">
      <c r="A2" s="20" t="s">
        <v>8</v>
      </c>
      <c r="B2" s="20" t="s">
        <v>289</v>
      </c>
      <c r="C2" s="20" t="s">
        <v>290</v>
      </c>
      <c r="D2" s="20" t="s">
        <v>291</v>
      </c>
      <c r="E2" s="20" t="s">
        <v>292</v>
      </c>
      <c r="F2" s="20" t="s">
        <v>10</v>
      </c>
      <c r="G2" s="20" t="s">
        <v>13</v>
      </c>
      <c r="H2" s="20" t="s">
        <v>293</v>
      </c>
    </row>
    <row r="3" customFormat="false" ht="15" hidden="false" customHeight="false" outlineLevel="0" collapsed="false">
      <c r="A3" s="53" t="s">
        <v>39</v>
      </c>
      <c r="B3" s="9" t="s">
        <v>294</v>
      </c>
      <c r="C3" s="9" t="s">
        <v>295</v>
      </c>
      <c r="D3" s="9" t="s">
        <v>296</v>
      </c>
      <c r="E3" s="8" t="n">
        <v>0</v>
      </c>
      <c r="F3" s="8" t="n">
        <v>0</v>
      </c>
      <c r="G3" s="54" t="n">
        <f aca="false">F3*150</f>
        <v>0</v>
      </c>
      <c r="H3" s="9"/>
    </row>
    <row r="4" customFormat="false" ht="15" hidden="false" customHeight="false" outlineLevel="0" collapsed="false">
      <c r="A4" s="40" t="s">
        <v>48</v>
      </c>
      <c r="B4" s="13" t="s">
        <v>297</v>
      </c>
      <c r="C4" s="13" t="s">
        <v>298</v>
      </c>
      <c r="D4" s="13" t="s">
        <v>299</v>
      </c>
      <c r="E4" s="12" t="n">
        <v>0</v>
      </c>
      <c r="F4" s="12" t="n">
        <v>0</v>
      </c>
      <c r="G4" s="55" t="n">
        <f aca="false">F4*40</f>
        <v>0</v>
      </c>
      <c r="H4" s="13"/>
    </row>
    <row r="5" customFormat="false" ht="15" hidden="false" customHeight="false" outlineLevel="0" collapsed="false">
      <c r="A5" s="53" t="s">
        <v>54</v>
      </c>
      <c r="B5" s="9" t="s">
        <v>300</v>
      </c>
      <c r="C5" s="9" t="s">
        <v>301</v>
      </c>
      <c r="D5" s="9" t="s">
        <v>302</v>
      </c>
      <c r="E5" s="8" t="n">
        <v>0</v>
      </c>
      <c r="F5" s="8" t="n">
        <v>0</v>
      </c>
      <c r="G5" s="54" t="n">
        <f aca="false">F5*36</f>
        <v>0</v>
      </c>
      <c r="H5" s="9"/>
    </row>
    <row r="6" customFormat="false" ht="15" hidden="false" customHeight="false" outlineLevel="0" collapsed="false">
      <c r="A6" s="40" t="s">
        <v>60</v>
      </c>
      <c r="B6" s="13" t="s">
        <v>303</v>
      </c>
      <c r="C6" s="13" t="s">
        <v>304</v>
      </c>
      <c r="D6" s="13" t="s">
        <v>305</v>
      </c>
      <c r="E6" s="12" t="n">
        <v>0</v>
      </c>
      <c r="F6" s="12" t="n">
        <v>0</v>
      </c>
      <c r="G6" s="55" t="n">
        <f aca="false">F6*200</f>
        <v>0</v>
      </c>
      <c r="H6" s="13"/>
    </row>
    <row r="7" customFormat="false" ht="15" hidden="false" customHeight="false" outlineLevel="0" collapsed="false">
      <c r="A7" s="53" t="s">
        <v>306</v>
      </c>
      <c r="B7" s="9" t="s">
        <v>307</v>
      </c>
      <c r="C7" s="9" t="s">
        <v>308</v>
      </c>
      <c r="D7" s="9" t="s">
        <v>309</v>
      </c>
      <c r="E7" s="8" t="n">
        <v>0</v>
      </c>
      <c r="F7" s="8" t="n">
        <v>0</v>
      </c>
      <c r="G7" s="54" t="n">
        <f aca="false">F7*1.5</f>
        <v>0</v>
      </c>
      <c r="H7" s="9"/>
    </row>
    <row r="8" customFormat="false" ht="15" hidden="false" customHeight="false" outlineLevel="0" collapsed="false">
      <c r="A8" s="40" t="s">
        <v>84</v>
      </c>
      <c r="B8" s="13" t="s">
        <v>310</v>
      </c>
      <c r="C8" s="13" t="s">
        <v>311</v>
      </c>
      <c r="D8" s="13" t="s">
        <v>312</v>
      </c>
      <c r="E8" s="12" t="n">
        <v>0</v>
      </c>
      <c r="F8" s="12" t="n">
        <v>0</v>
      </c>
      <c r="G8" s="55" t="n">
        <f aca="false">F8*25</f>
        <v>0</v>
      </c>
      <c r="H8" s="13"/>
    </row>
    <row r="9" customFormat="false" ht="15" hidden="false" customHeight="false" outlineLevel="0" collapsed="false">
      <c r="A9" s="53" t="s">
        <v>90</v>
      </c>
      <c r="B9" s="9" t="s">
        <v>313</v>
      </c>
      <c r="C9" s="9" t="s">
        <v>314</v>
      </c>
      <c r="D9" s="9" t="s">
        <v>315</v>
      </c>
      <c r="E9" s="8" t="n">
        <v>0</v>
      </c>
      <c r="F9" s="8" t="n">
        <v>0</v>
      </c>
      <c r="G9" s="54" t="n">
        <f aca="false">F9*15</f>
        <v>0</v>
      </c>
      <c r="H9" s="9"/>
    </row>
    <row r="10" customFormat="false" ht="21.75" hidden="false" customHeight="true" outlineLevel="0" collapsed="false">
      <c r="A10" s="16" t="s">
        <v>29</v>
      </c>
      <c r="B10" s="16"/>
      <c r="C10" s="16"/>
      <c r="D10" s="16"/>
      <c r="E10" s="16" t="n">
        <f aca="false">SUM(E3:E9)</f>
        <v>0</v>
      </c>
      <c r="F10" s="16" t="n">
        <f aca="false">SUM(F3:F9)</f>
        <v>0</v>
      </c>
      <c r="G10" s="18" t="n">
        <f aca="false">SUM(G3:G9)</f>
        <v>0</v>
      </c>
      <c r="H10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  <col collapsed="false" customWidth="true" hidden="false" outlineLevel="0" max="7" min="7" style="0" width="18"/>
  </cols>
  <sheetData>
    <row r="1" customFormat="false" ht="39.75" hidden="false" customHeight="true" outlineLevel="0" collapsed="false">
      <c r="A1" s="19" t="s">
        <v>316</v>
      </c>
      <c r="B1" s="19"/>
      <c r="C1" s="19"/>
      <c r="D1" s="19"/>
      <c r="E1" s="19"/>
      <c r="F1" s="19"/>
      <c r="G1" s="19"/>
    </row>
    <row r="2" customFormat="false" ht="21.75" hidden="false" customHeight="true" outlineLevel="0" collapsed="false">
      <c r="A2" s="20" t="s">
        <v>7</v>
      </c>
      <c r="B2" s="20" t="s">
        <v>317</v>
      </c>
      <c r="C2" s="20" t="s">
        <v>318</v>
      </c>
      <c r="D2" s="20" t="s">
        <v>319</v>
      </c>
      <c r="E2" s="20" t="s">
        <v>320</v>
      </c>
      <c r="F2" s="20" t="s">
        <v>321</v>
      </c>
      <c r="G2" s="20" t="s">
        <v>322</v>
      </c>
    </row>
    <row r="3" customFormat="false" ht="15" hidden="false" customHeight="false" outlineLevel="0" collapsed="false">
      <c r="A3" s="8" t="s">
        <v>17</v>
      </c>
      <c r="B3" s="54" t="n">
        <v>0</v>
      </c>
      <c r="C3" s="54" t="n">
        <v>0</v>
      </c>
      <c r="D3" s="54" t="n">
        <v>0</v>
      </c>
      <c r="E3" s="54" t="n">
        <v>0</v>
      </c>
      <c r="F3" s="54" t="n">
        <v>0</v>
      </c>
      <c r="G3" s="58" t="n">
        <f aca="false">SUM(B3:F3)</f>
        <v>0</v>
      </c>
    </row>
    <row r="4" customFormat="false" ht="15" hidden="false" customHeight="false" outlineLevel="0" collapsed="false">
      <c r="A4" s="12" t="s">
        <v>20</v>
      </c>
      <c r="B4" s="55" t="n">
        <v>0</v>
      </c>
      <c r="C4" s="55" t="n">
        <v>0</v>
      </c>
      <c r="D4" s="55" t="n">
        <v>0</v>
      </c>
      <c r="E4" s="55" t="n">
        <v>0</v>
      </c>
      <c r="F4" s="55" t="n">
        <v>0</v>
      </c>
      <c r="G4" s="59" t="n">
        <f aca="false">SUM(B4:F4)</f>
        <v>0</v>
      </c>
    </row>
    <row r="5" customFormat="false" ht="15" hidden="false" customHeight="false" outlineLevel="0" collapsed="false">
      <c r="A5" s="8" t="s">
        <v>21</v>
      </c>
      <c r="B5" s="54" t="n">
        <v>0</v>
      </c>
      <c r="C5" s="54" t="n">
        <v>0</v>
      </c>
      <c r="D5" s="54" t="n">
        <v>0</v>
      </c>
      <c r="E5" s="54" t="n">
        <v>0</v>
      </c>
      <c r="F5" s="54" t="n">
        <v>0</v>
      </c>
      <c r="G5" s="58" t="n">
        <f aca="false">SUM(B5:F5)</f>
        <v>0</v>
      </c>
    </row>
    <row r="6" customFormat="false" ht="15" hidden="false" customHeight="false" outlineLevel="0" collapsed="false">
      <c r="A6" s="12" t="s">
        <v>22</v>
      </c>
      <c r="B6" s="55" t="n">
        <v>0</v>
      </c>
      <c r="C6" s="55" t="n">
        <v>0</v>
      </c>
      <c r="D6" s="55" t="n">
        <v>0</v>
      </c>
      <c r="E6" s="55" t="n">
        <v>0</v>
      </c>
      <c r="F6" s="55" t="n">
        <v>0</v>
      </c>
      <c r="G6" s="59" t="n">
        <f aca="false">SUM(B6:F6)</f>
        <v>0</v>
      </c>
    </row>
    <row r="7" customFormat="false" ht="15" hidden="false" customHeight="false" outlineLevel="0" collapsed="false">
      <c r="A7" s="16" t="s">
        <v>29</v>
      </c>
      <c r="B7" s="18" t="n">
        <f aca="false">SUM(B3:B6)</f>
        <v>0</v>
      </c>
      <c r="C7" s="18" t="n">
        <f aca="false">SUM(C3:C6)</f>
        <v>0</v>
      </c>
      <c r="D7" s="18" t="n">
        <f aca="false">SUM(D3:D6)</f>
        <v>0</v>
      </c>
      <c r="E7" s="18" t="n">
        <f aca="false">SUM(E3:E6)</f>
        <v>0</v>
      </c>
      <c r="F7" s="18" t="n">
        <f aca="false">SUM(F3:F6)</f>
        <v>0</v>
      </c>
      <c r="G7" s="18" t="n">
        <f aca="false">SUM(G3:G6)</f>
        <v>0</v>
      </c>
    </row>
    <row r="9" customFormat="false" ht="15" hidden="false" customHeight="true" outlineLevel="0" collapsed="false">
      <c r="A9" s="60" t="s">
        <v>323</v>
      </c>
      <c r="B9" s="60"/>
      <c r="C9" s="60"/>
      <c r="D9" s="60"/>
      <c r="E9" s="60"/>
      <c r="F9" s="60"/>
      <c r="G9" s="60"/>
    </row>
    <row r="10" customFormat="false" ht="15" hidden="false" customHeight="false" outlineLevel="0" collapsed="false">
      <c r="A10" s="40" t="s">
        <v>324</v>
      </c>
      <c r="B10" s="61" t="n">
        <f aca="false">G7</f>
        <v>0</v>
      </c>
    </row>
    <row r="11" customFormat="false" ht="15" hidden="false" customHeight="false" outlineLevel="0" collapsed="false">
      <c r="A11" s="40" t="s">
        <v>325</v>
      </c>
      <c r="B11" s="62" t="n">
        <f aca="false">G7*83</f>
        <v>0</v>
      </c>
    </row>
    <row r="12" customFormat="false" ht="15" hidden="false" customHeight="false" outlineLevel="0" collapsed="false">
      <c r="A12" s="40" t="s">
        <v>326</v>
      </c>
      <c r="B12" s="48" t="n">
        <f aca="false">20*30</f>
        <v>600</v>
      </c>
    </row>
    <row r="13" customFormat="false" ht="15" hidden="false" customHeight="false" outlineLevel="0" collapsed="false">
      <c r="A13" s="40" t="s">
        <v>327</v>
      </c>
      <c r="B13" s="48" t="n">
        <f aca="false">B12-B10</f>
        <v>600</v>
      </c>
    </row>
    <row r="14" customFormat="false" ht="15" hidden="false" customHeight="false" outlineLevel="0" collapsed="false">
      <c r="A14" s="40" t="s">
        <v>328</v>
      </c>
      <c r="B14" s="63" t="n">
        <f aca="false">IF(B12=0,0,B10/B12)</f>
        <v>0</v>
      </c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2026-05-06T08:22:02Z</dcterms:created>
  <dc:creator>openpyxl</dc:creator>
  <dc:description/>
  <dc:language>en-US</dc:language>
  <cp:lastModifiedBy/>
  <dcterms:modified xsi:type="dcterms:W3CDTF">2026-05-06T08:22:02Z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